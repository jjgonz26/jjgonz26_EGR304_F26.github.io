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wng\Downloads\"/>
    </mc:Choice>
  </mc:AlternateContent>
  <xr:revisionPtr revIDLastSave="0" documentId="8_{45E77783-09C6-4A4F-9085-3D0BF5615412}" xr6:coauthVersionLast="47" xr6:coauthVersionMax="47" xr10:uidLastSave="{00000000-0000-0000-0000-000000000000}"/>
  <bookViews>
    <workbookView xWindow="-110" yWindow="-110" windowWidth="25820" windowHeight="15500" tabRatio="500" xr2:uid="{00000000-000D-0000-FFFF-FFFF00000000}"/>
  </bookViews>
  <sheets>
    <sheet name="Power Budget" sheetId="1" r:id="rId1"/>
    <sheet name="Calcs" sheetId="2" r:id="rId2"/>
    <sheet name="Section C"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6" i="2" l="1"/>
  <c r="B57" i="2" s="1"/>
  <c r="B58" i="2" s="1"/>
  <c r="B60" i="2" s="1"/>
  <c r="B49" i="2"/>
  <c r="B50" i="2" s="1"/>
  <c r="B44" i="2"/>
  <c r="B36" i="2"/>
  <c r="B32" i="2"/>
  <c r="B29" i="2"/>
  <c r="B26" i="2"/>
  <c r="B21" i="2"/>
  <c r="B23" i="2" s="1"/>
  <c r="B37" i="2" s="1"/>
  <c r="F24" i="1"/>
  <c r="G24" i="1" s="1"/>
  <c r="E24" i="1"/>
  <c r="F20" i="1"/>
  <c r="G20" i="1" s="1"/>
  <c r="G17" i="1"/>
  <c r="E15" i="1"/>
  <c r="D15" i="1"/>
  <c r="C15" i="1"/>
  <c r="B15" i="1"/>
  <c r="E14" i="1"/>
  <c r="D14" i="1"/>
  <c r="C14" i="1"/>
  <c r="B14" i="1"/>
  <c r="E13" i="1"/>
  <c r="D13" i="1"/>
  <c r="C13" i="1"/>
  <c r="B13" i="1"/>
  <c r="F10" i="1"/>
  <c r="B4" i="2" l="1"/>
  <c r="F9" i="1" s="1"/>
  <c r="F11" i="1"/>
  <c r="F14" i="1"/>
  <c r="G10" i="1"/>
  <c r="G14" i="1" s="1"/>
  <c r="G9" i="1" l="1"/>
  <c r="G13" i="1" s="1"/>
  <c r="F13" i="1"/>
  <c r="G11" i="1"/>
  <c r="G15" i="1" s="1"/>
  <c r="F15" i="1"/>
  <c r="G16" i="1" l="1"/>
  <c r="G18" i="1" l="1"/>
  <c r="B38" i="2"/>
  <c r="G21" i="1" l="1"/>
  <c r="F25" i="1"/>
  <c r="G25" i="1" s="1"/>
  <c r="G28" i="1" s="1"/>
  <c r="B14" i="3" s="1"/>
  <c r="B42" i="2"/>
  <c r="B51" i="2" l="1"/>
  <c r="B43" i="2"/>
  <c r="B45" i="2" s="1"/>
  <c r="B7" i="3" l="1"/>
  <c r="B46" i="2"/>
  <c r="B47" i="2" s="1"/>
  <c r="B48" i="2" l="1"/>
</calcChain>
</file>

<file path=xl/sharedStrings.xml><?xml version="1.0" encoding="utf-8"?>
<sst xmlns="http://schemas.openxmlformats.org/spreadsheetml/2006/main" count="262" uniqueCount="179">
  <si>
    <t>Power Budget</t>
  </si>
  <si>
    <t>Team Number:</t>
  </si>
  <si>
    <t>Project Name:</t>
  </si>
  <si>
    <t>Pet Feeder - Light Sensor Board</t>
  </si>
  <si>
    <t>Team Member Names:</t>
  </si>
  <si>
    <t>Version:</t>
  </si>
  <si>
    <t>1.0</t>
  </si>
  <si>
    <t>A. All Major Components</t>
  </si>
  <si>
    <t>Component Name</t>
  </si>
  <si>
    <t>Part Number</t>
  </si>
  <si>
    <t>Supply Voltage Range</t>
  </si>
  <si>
    <t>#</t>
  </si>
  <si>
    <t>Absolute Maximum Current (mA)</t>
  </si>
  <si>
    <t>Total Current (mA)</t>
  </si>
  <si>
    <t>Unit</t>
  </si>
  <si>
    <t>Curiosity Nano board</t>
  </si>
  <si>
    <t>PIC18F57Q43 Curiosity Nano (DM164150)</t>
  </si>
  <si>
    <t>1.8 - 5.5V</t>
  </si>
  <si>
    <t>mA</t>
  </si>
  <si>
    <t>Quad op amp (3 buffers + 1 tied off)</t>
  </si>
  <si>
    <t>MCP6004</t>
  </si>
  <si>
    <t>1.8 - 6V</t>
  </si>
  <si>
    <t>Sensor dividers, buttons, LEDs, J3 lines (aggregate)</t>
  </si>
  <si>
    <t>Resistive loads (see Calcs tab)</t>
  </si>
  <si>
    <t>5V</t>
  </si>
  <si>
    <t>B. +5V Power Rail</t>
  </si>
  <si>
    <t>Subtotal</t>
  </si>
  <si>
    <t>Safety Margin</t>
  </si>
  <si>
    <t>Total Current Required on +5V Rail</t>
  </si>
  <si>
    <t>c1. Regulator or Source Choice</t>
  </si>
  <si>
    <t>+5V linear regulator</t>
  </si>
  <si>
    <t>L7805ABV-DG</t>
  </si>
  <si>
    <t>7.5 - 35V</t>
  </si>
  <si>
    <t>Total Remaining Current Available on +5V Rail</t>
  </si>
  <si>
    <t>D. External Power Source 1</t>
  </si>
  <si>
    <t>Output Voltage</t>
  </si>
  <si>
    <t>Power Source 1 Selection</t>
  </si>
  <si>
    <t>Plug-in wall supply (5.5 mm barrel)</t>
  </si>
  <si>
    <t>BestCH 9V 3A (EA10302 repl.)</t>
  </si>
  <si>
    <t>120VAC</t>
  </si>
  <si>
    <t>Power Rails Connected to
External Power Source 1</t>
  </si>
  <si>
    <t>+5V regulator (input current from 9V)</t>
  </si>
  <si>
    <t>Total Remaining Current Available on External Power Source 1</t>
  </si>
  <si>
    <t>E. Battery Life</t>
  </si>
  <si>
    <t>Capacity (mAh)</t>
  </si>
  <si>
    <t>Required By Regulators</t>
  </si>
  <si>
    <t>Not applicable</t>
  </si>
  <si>
    <t>Wall supply used</t>
  </si>
  <si>
    <t>N/A</t>
  </si>
  <si>
    <t>Battery Life</t>
  </si>
  <si>
    <t>Calculations and Assumptions</t>
  </si>
  <si>
    <t>Yellow cells with blue text are inputs you can edit. Everything else is a formula.</t>
  </si>
  <si>
    <t>Inputs</t>
  </si>
  <si>
    <t>Curiosity Nano supply current (per board)</t>
  </si>
  <si>
    <t>Built up in the Nano current section below from PIC18F57Q43 datasheet DS40002147 Tables 47-2 and 47-3, scaled to 5 V.</t>
  </si>
  <si>
    <t>MCP6004 quiescent current, max, per amplifier</t>
  </si>
  <si>
    <t>Microchip MCP6001/2/4 datasheet parametrics: Iq max 170 uA (typ 100 uA).</t>
  </si>
  <si>
    <t>MCP6004 amplifiers powered</t>
  </si>
  <si>
    <t>Quad package. U1A-C are buffers; U1D is tied off but still powered.</t>
  </si>
  <si>
    <t>Safety margin</t>
  </si>
  <si>
    <t>Course requirement: add a 25% safety margin to the current needed to operate the system.</t>
  </si>
  <si>
    <t>Regulator max output current (L7805AB)</t>
  </si>
  <si>
    <t>ST DS0422 Rev 38 (L78 series): output current up to 1.5 A.</t>
  </si>
  <si>
    <t>Regulator quiescent current, max (L7805AB)</t>
  </si>
  <si>
    <t>ST DS0422 Table 3: Iq 4.3 mA typ, 6 mA max.</t>
  </si>
  <si>
    <t>Wall supply output voltage</t>
  </si>
  <si>
    <t>V</t>
  </si>
  <si>
    <t>BestCH 9 V 3 A switching adapter (listed as a replacement for the EDAC EA10302), per your listing. Check the label for the exact rating.</t>
  </si>
  <si>
    <t>Wall supply max current</t>
  </si>
  <si>
    <t>BestCH adapter rated 3.0 A, per your listing.</t>
  </si>
  <si>
    <t>Regulator output voltage</t>
  </si>
  <si>
    <t>Fixed 5 V output.</t>
  </si>
  <si>
    <t>Thermal resistance junction-ambient, TO-220</t>
  </si>
  <si>
    <t>C/W</t>
  </si>
  <si>
    <t>ST DS0422 Table 2. No heatsink assumed.</t>
  </si>
  <si>
    <t>Max operating junction temperature (L7805AB)</t>
  </si>
  <si>
    <t>C</t>
  </si>
  <si>
    <t>ST DS0422 Table 1.</t>
  </si>
  <si>
    <t>Assumed ambient temperature</t>
  </si>
  <si>
    <t>ASSUMPTION: warm room or enclosure. Change to match where the feeder will live.</t>
  </si>
  <si>
    <t>Regulator dropout voltage (at 1 A)</t>
  </si>
  <si>
    <t>ST DS0422 Table 3. Dropout is lower at light load.</t>
  </si>
  <si>
    <t>Small loads not listed as major components (worst case)</t>
  </si>
  <si>
    <t>Photoresistor minimum resistance (direct light)</t>
  </si>
  <si>
    <t>ohm</t>
  </si>
  <si>
    <t>Your measurement: 0.12 kohm in direct light. This gives the highest divider current.</t>
  </si>
  <si>
    <t>Divider resistor (R1, R4, R8)</t>
  </si>
  <si>
    <t>From schematic.</t>
  </si>
  <si>
    <t>Current per sensor divider</t>
  </si>
  <si>
    <t>5 V across photoresistor + 10k.</t>
  </si>
  <si>
    <t>Number of dividers</t>
  </si>
  <si>
    <t>R2, R3, R5.</t>
  </si>
  <si>
    <t>Dividers total</t>
  </si>
  <si>
    <t>All three in direct light at once.</t>
  </si>
  <si>
    <t>Button pull-up resistor (R6, R7)</t>
  </si>
  <si>
    <t>Buttons pressed at once</t>
  </si>
  <si>
    <t>Worst case: both pressed (pull-up to ground).</t>
  </si>
  <si>
    <t>Button pull-ups total</t>
  </si>
  <si>
    <t>Blue LED forward voltage (D1)</t>
  </si>
  <si>
    <t>From your project notes (blue LEDs drop about 3 V).</t>
  </si>
  <si>
    <t>Blue LED series resistor (R10)</t>
  </si>
  <si>
    <t>From schematic. Change this if you switch to 330 ohm.</t>
  </si>
  <si>
    <t>Blue LED current</t>
  </si>
  <si>
    <t>Green LED forward voltage (D2)</t>
  </si>
  <si>
    <t>ASSUMPTION: typical green LED. Replace with the datasheet value for your part.</t>
  </si>
  <si>
    <t>Green LED series resistor (R11)</t>
  </si>
  <si>
    <t>Green LED current</t>
  </si>
  <si>
    <t>J3 line series resistor (R9, R13, R15)</t>
  </si>
  <si>
    <t>J3 line pull-down (R12, R16, R17)</t>
  </si>
  <si>
    <t>J3 lines driven high</t>
  </si>
  <si>
    <t>Worst case: primary and both backup lines high. Output pins into the pull-downs.</t>
  </si>
  <si>
    <t>J3 lines total</t>
  </si>
  <si>
    <t>Logic only. Assumes the teammate's board is powered separately and draws nothing from J3.</t>
  </si>
  <si>
    <t>Total small loads</t>
  </si>
  <si>
    <t>Small loads share of the +5V rail subtotal</t>
  </si>
  <si>
    <t>Listed in Section A as an aggregate line?</t>
  </si>
  <si>
    <t>Yes</t>
  </si>
  <si>
    <t>With the datasheet Nano figure, the 25% margin alone no longer absorbs these loads, so they are included as one line item.</t>
  </si>
  <si>
    <t>Regulator heat (L7805AB, TO-220)</t>
  </si>
  <si>
    <t>Regulator output current used</t>
  </si>
  <si>
    <t>Total current required on the +5 V rail, margin included.</t>
  </si>
  <si>
    <t>Pass-element dissipation</t>
  </si>
  <si>
    <t>W</t>
  </si>
  <si>
    <t>(Vin - Vout) x Iout</t>
  </si>
  <si>
    <t>Quiescent dissipation</t>
  </si>
  <si>
    <t>Vin x Iq (max)</t>
  </si>
  <si>
    <t>Total regulator dissipation</t>
  </si>
  <si>
    <t>Junction temperature rise</t>
  </si>
  <si>
    <t>P x RthJA</t>
  </si>
  <si>
    <t>Estimated junction temperature</t>
  </si>
  <si>
    <t>Heatsink needed?</t>
  </si>
  <si>
    <t>Needed only if the junction temperature reaches the 125 C limit.</t>
  </si>
  <si>
    <t>Input-output headroom</t>
  </si>
  <si>
    <t>Must exceed the dropout voltage in B16.</t>
  </si>
  <si>
    <t>Headroom above dropout</t>
  </si>
  <si>
    <t>Minimum load check</t>
  </si>
  <si>
    <t>ST datasheet: minimum load current for regulation is 5 mA.</t>
  </si>
  <si>
    <t>Curiosity Nano current build-up (PIC18F57Q43)</t>
  </si>
  <si>
    <t>IDD max, HS+PLL = 64 MHz (worst clock row)</t>
  </si>
  <si>
    <t>Datasheet Table 47-2, D103, measured at VDD = 3.0 V. Use 8.2 mA (D102, HFINTOSC 64 MHz) if your code uses the internal oscillator.</t>
  </si>
  <si>
    <t>VDD of the datasheet measurement</t>
  </si>
  <si>
    <t>Table 47-2 conditions.</t>
  </si>
  <si>
    <t>Operating VDD</t>
  </si>
  <si>
    <t>5 V rail into VTG.</t>
  </si>
  <si>
    <t>Voltage scale factor</t>
  </si>
  <si>
    <t>ASSUMPTION: run current scales about linearly with VDD. The table has no 5 V row, so this is a conservative extrapolation.</t>
  </si>
  <si>
    <t>IDD scaled to 5 V</t>
  </si>
  <si>
    <t>Test condition is I/O pins unloaded, so LED and pull-up currents are added separately above.</t>
  </si>
  <si>
    <t>ADC active current, max</t>
  </si>
  <si>
    <t>Table 47-3, D207 (819 uA max, +125 C). Datasheet note: add peripheral current to the base IDD. ADC is used for the three sensors.</t>
  </si>
  <si>
    <t>Curiosity Nano total</t>
  </si>
  <si>
    <t>Board overhead is about 5 uA worst case with no USB (Nano user guide, External Supply), so it is ignored.</t>
  </si>
  <si>
    <t>Section C: Regulator and Power Source Selection</t>
  </si>
  <si>
    <t>Table 1: +5V rail regulator</t>
  </si>
  <si>
    <t>Option</t>
  </si>
  <si>
    <t>Solution</t>
  </si>
  <si>
    <t>Pros</t>
  </si>
  <si>
    <t>Cons</t>
  </si>
  <si>
    <t>Selected?</t>
  </si>
  <si>
    <t>5 V linear regulator</t>
  </si>
  <si>
    <t>Needs only an input and an output capacitor (C1, C2 on the schematic). Through-hole TO-220. 1.5 A rating against a load of a few tens of mA. 2% output tolerance (A version). Built-in thermal shutdown and short-circuit protection. Quiet output, which suits the ADC readings. Matches the course specification.</t>
  </si>
  <si>
    <t>Drops the excess voltage as heat, so efficiency is only about 5/9 from a 9 V input. Needs at least about 7.5 V in. Up to 6 mA of its own quiescent current.</t>
  </si>
  <si>
    <t>Switching step-down regulator (discrete)</t>
  </si>
  <si>
    <t>LM2596T-5.0</t>
  </si>
  <si>
    <t>Much higher efficiency, so very little heat. Wider input voltage range.</t>
  </si>
  <si>
    <t>Needs an inductor, a Schottky diode and larger capacitors, so more parts, cost and board area. Switching noise can disturb the photoresistor ADC readings. Layout is more sensitive. The efficiency gain is worth very little at this load.</t>
  </si>
  <si>
    <t>No</t>
  </si>
  <si>
    <t>Rationale</t>
  </si>
  <si>
    <t>Table 2: External power source</t>
  </si>
  <si>
    <t>9 V wall adapter</t>
  </si>
  <si>
    <t>BestCH 9V 3A (EA10302 replacement)</t>
  </si>
  <si>
    <t>Unlimited runtime. Regulated output. 3 A rating far exceeds what the board draws. Matches the course requirement of a 9 V barrel jack with no USB power. Fits the 5.5 mm barrel jack J1.</t>
  </si>
  <si>
    <t>Tethered to an outlet and stops working in a power outage. Wrong polarity would damage the board, since there is no reverse-polarity protection.</t>
  </si>
  <si>
    <t>Battery pack</t>
  </si>
  <si>
    <t>6 x AA holder, about 9 V</t>
  </si>
  <si>
    <t>Portable. Keeps working in a power outage.</t>
  </si>
  <si>
    <t>Finite runtime, so a battery-life calculation would be needed. Voltage sags as the cells discharge and approaches the regulator's minimum input. Batteries must be replaced.</t>
  </si>
  <si>
    <t>Pros and cons for the alternative options are general characteristics. Check them against the LM2596 and battery pack datasheets before submitting.</t>
  </si>
  <si>
    <t>Justin Gonzalez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</si>
</sst>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x14ac:knownFonts="1">
    <font>
      <sz val="11"/>
      <color theme="1"/>
      <name val="Calibri"/>
      <family val="2"/>
      <charset val="1"/>
    </font>
    <font>
      <b/>
      <sz val="16"/>
      <name val="Arial"/>
      <charset val="1"/>
    </font>
    <font>
      <b/>
      <sz val="10"/>
      <name val="Arial"/>
      <charset val="1"/>
    </font>
    <font>
      <sz val="10"/>
      <name val="Arial"/>
      <charset val="1"/>
    </font>
    <font>
      <b/>
      <i/>
      <sz val="10"/>
      <name val="Arial"/>
      <charset val="1"/>
    </font>
    <font>
      <i/>
      <sz val="10"/>
      <name val="Arial"/>
      <charset val="1"/>
    </font>
    <font>
      <sz val="10"/>
      <color rgb="FF0000FF"/>
      <name val="Arial"/>
      <charset val="1"/>
    </font>
    <font>
      <b/>
      <sz val="10"/>
      <name val="Arial"/>
      <family val="2"/>
    </font>
  </fonts>
  <fills count="4">
    <fill>
      <patternFill patternType="none"/>
    </fill>
    <fill>
      <patternFill patternType="gray125"/>
    </fill>
    <fill>
      <patternFill patternType="solid">
        <fgColor rgb="FFEEECE1"/>
        <bgColor rgb="FFFFF2CC"/>
      </patternFill>
    </fill>
    <fill>
      <patternFill patternType="solid">
        <fgColor rgb="FFFFF2CC"/>
        <bgColor rgb="FFEEECE1"/>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7">
    <xf numFmtId="0" fontId="0" fillId="0" borderId="0" xfId="0"/>
    <xf numFmtId="0" fontId="3" fillId="0" borderId="0" xfId="0" applyFont="1" applyAlignment="1">
      <alignment vertical="top" wrapText="1"/>
    </xf>
    <xf numFmtId="0" fontId="2" fillId="0" borderId="0" xfId="0" applyFont="1"/>
    <xf numFmtId="0" fontId="1" fillId="0" borderId="0" xfId="0" applyFont="1" applyAlignment="1">
      <alignment horizontal="center"/>
    </xf>
    <xf numFmtId="0" fontId="2" fillId="0" borderId="0" xfId="0" applyFont="1"/>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xf>
    <xf numFmtId="2" fontId="3" fillId="0" borderId="0" xfId="0" applyNumberFormat="1" applyFont="1"/>
    <xf numFmtId="0" fontId="4" fillId="0" borderId="0" xfId="0" applyFont="1" applyAlignment="1">
      <alignment horizontal="right"/>
    </xf>
    <xf numFmtId="9" fontId="3" fillId="0" borderId="0" xfId="0" applyNumberFormat="1" applyFont="1"/>
    <xf numFmtId="0" fontId="2" fillId="0" borderId="0" xfId="0" applyFont="1" applyAlignment="1">
      <alignment horizontal="right"/>
    </xf>
    <xf numFmtId="2" fontId="2" fillId="0" borderId="0" xfId="0" applyNumberFormat="1" applyFont="1"/>
    <xf numFmtId="0" fontId="4" fillId="0" borderId="0" xfId="0" applyFont="1"/>
    <xf numFmtId="0" fontId="2" fillId="0" borderId="0" xfId="0" applyFont="1" applyAlignment="1">
      <alignment vertical="center" wrapText="1"/>
    </xf>
    <xf numFmtId="0" fontId="0" fillId="2" borderId="1" xfId="0" applyFill="1" applyBorder="1"/>
    <xf numFmtId="0" fontId="1" fillId="0" borderId="0" xfId="0" applyFont="1"/>
    <xf numFmtId="0" fontId="5" fillId="0" borderId="0" xfId="0" applyFont="1"/>
    <xf numFmtId="0" fontId="2" fillId="2" borderId="0" xfId="0" applyFont="1" applyFill="1"/>
    <xf numFmtId="0" fontId="0" fillId="2" borderId="0" xfId="0" applyFill="1"/>
    <xf numFmtId="0" fontId="3" fillId="0" borderId="0" xfId="0" applyFont="1" applyAlignment="1">
      <alignment vertical="center" wrapText="1"/>
    </xf>
    <xf numFmtId="2" fontId="6" fillId="3" borderId="0" xfId="0" applyNumberFormat="1" applyFont="1" applyFill="1"/>
    <xf numFmtId="0" fontId="6" fillId="3" borderId="0" xfId="0" applyFont="1" applyFill="1"/>
    <xf numFmtId="9" fontId="6" fillId="3" borderId="0" xfId="0" applyNumberFormat="1" applyFont="1" applyFill="1"/>
    <xf numFmtId="164" fontId="3" fillId="0" borderId="0" xfId="0" applyNumberFormat="1" applyFont="1"/>
    <xf numFmtId="165" fontId="6" fillId="3" borderId="0" xfId="0" applyNumberFormat="1" applyFont="1" applyFill="1"/>
    <xf numFmtId="165" fontId="3" fillId="0" borderId="0" xfId="0" applyNumberFormat="1" applyFont="1"/>
    <xf numFmtId="164" fontId="6" fillId="3" borderId="0" xfId="0" applyNumberFormat="1" applyFont="1" applyFill="1"/>
    <xf numFmtId="0" fontId="3" fillId="0" borderId="1" xfId="0" applyFont="1" applyBorder="1" applyAlignment="1">
      <alignment vertical="top" wrapText="1"/>
    </xf>
    <xf numFmtId="0" fontId="2" fillId="0" borderId="0" xfId="0" applyFont="1" applyAlignment="1">
      <alignment vertical="top" wrapText="1"/>
    </xf>
    <xf numFmtId="0" fontId="2" fillId="0" borderId="0" xfId="0" applyFont="1" applyFill="1" applyAlignment="1">
      <alignment horizontal="left"/>
    </xf>
    <xf numFmtId="0" fontId="2" fillId="0" borderId="0" xfId="0" applyFont="1" applyFill="1"/>
    <xf numFmtId="0" fontId="7" fillId="0" borderId="0" xfId="0" applyFont="1" applyFill="1"/>
    <xf numFmtId="0" fontId="4" fillId="0" borderId="0" xfId="0" applyFont="1" applyFill="1"/>
    <xf numFmtId="0" fontId="0" fillId="0" borderId="0" xfId="0" applyFill="1"/>
    <xf numFmtId="0" fontId="3" fillId="0"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EEECE1"/>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showGridLines="0" tabSelected="1" topLeftCell="A6" zoomScaleNormal="100" workbookViewId="0">
      <selection activeCell="A37" sqref="A37:H37"/>
    </sheetView>
  </sheetViews>
  <sheetFormatPr defaultColWidth="8.6328125" defaultRowHeight="14.5" x14ac:dyDescent="0.35"/>
  <cols>
    <col min="1" max="1" width="34" customWidth="1"/>
    <col min="2" max="2" width="36" customWidth="1"/>
    <col min="3" max="3" width="28" customWidth="1"/>
    <col min="4" max="4" width="18" customWidth="1"/>
    <col min="5" max="5" width="14" customWidth="1"/>
    <col min="6" max="6" width="18" customWidth="1"/>
    <col min="7" max="7" width="16" customWidth="1"/>
    <col min="8" max="8" width="7" customWidth="1"/>
  </cols>
  <sheetData>
    <row r="1" spans="1:8" ht="20" x14ac:dyDescent="0.4">
      <c r="A1" s="3" t="s">
        <v>0</v>
      </c>
      <c r="B1" s="3"/>
      <c r="C1" s="3"/>
      <c r="D1" s="3"/>
      <c r="E1" s="3"/>
      <c r="F1" s="3"/>
      <c r="G1" s="3"/>
      <c r="H1" s="3"/>
    </row>
    <row r="3" spans="1:8" x14ac:dyDescent="0.35">
      <c r="A3" s="4" t="s">
        <v>1</v>
      </c>
      <c r="B3" s="31">
        <v>206</v>
      </c>
      <c r="C3" s="31"/>
    </row>
    <row r="4" spans="1:8" x14ac:dyDescent="0.35">
      <c r="A4" s="4" t="s">
        <v>2</v>
      </c>
      <c r="B4" s="2" t="s">
        <v>3</v>
      </c>
      <c r="C4" s="2"/>
    </row>
    <row r="5" spans="1:8" x14ac:dyDescent="0.35">
      <c r="A5" s="4" t="s">
        <v>4</v>
      </c>
      <c r="B5" s="33" t="s">
        <v>178</v>
      </c>
      <c r="C5" s="32"/>
    </row>
    <row r="6" spans="1:8" x14ac:dyDescent="0.35">
      <c r="A6" s="4" t="s">
        <v>5</v>
      </c>
      <c r="B6" s="2" t="s">
        <v>6</v>
      </c>
      <c r="C6" s="2"/>
    </row>
    <row r="8" spans="1:8" ht="43.5" customHeight="1" x14ac:dyDescent="0.35">
      <c r="A8" s="5" t="s">
        <v>7</v>
      </c>
      <c r="B8" s="6" t="s">
        <v>8</v>
      </c>
      <c r="C8" s="6" t="s">
        <v>9</v>
      </c>
      <c r="D8" s="6" t="s">
        <v>10</v>
      </c>
      <c r="E8" s="6" t="s">
        <v>11</v>
      </c>
      <c r="F8" s="6" t="s">
        <v>12</v>
      </c>
      <c r="G8" s="6" t="s">
        <v>13</v>
      </c>
      <c r="H8" s="6" t="s">
        <v>14</v>
      </c>
    </row>
    <row r="9" spans="1:8" x14ac:dyDescent="0.35">
      <c r="B9" s="7" t="s">
        <v>15</v>
      </c>
      <c r="C9" s="7" t="s">
        <v>16</v>
      </c>
      <c r="D9" s="8" t="s">
        <v>17</v>
      </c>
      <c r="E9" s="8">
        <v>1</v>
      </c>
      <c r="F9" s="9">
        <f>Calcs!B4</f>
        <v>23.819000000000003</v>
      </c>
      <c r="G9" s="9">
        <f>E9*F9</f>
        <v>23.819000000000003</v>
      </c>
      <c r="H9" s="7" t="s">
        <v>18</v>
      </c>
    </row>
    <row r="10" spans="1:8" x14ac:dyDescent="0.35">
      <c r="B10" s="7" t="s">
        <v>19</v>
      </c>
      <c r="C10" s="7" t="s">
        <v>20</v>
      </c>
      <c r="D10" s="8" t="s">
        <v>21</v>
      </c>
      <c r="E10" s="8">
        <v>1</v>
      </c>
      <c r="F10" s="9">
        <f>Calcs!B5*Calcs!B6</f>
        <v>0.68</v>
      </c>
      <c r="G10" s="9">
        <f>E10*F10</f>
        <v>0.68</v>
      </c>
      <c r="H10" s="7" t="s">
        <v>18</v>
      </c>
    </row>
    <row r="11" spans="1:8" x14ac:dyDescent="0.35">
      <c r="B11" s="7" t="s">
        <v>22</v>
      </c>
      <c r="C11" s="7" t="s">
        <v>23</v>
      </c>
      <c r="D11" s="8" t="s">
        <v>24</v>
      </c>
      <c r="E11" s="8">
        <v>1</v>
      </c>
      <c r="F11" s="9">
        <f>Calcs!B37</f>
        <v>8.8342947552889051</v>
      </c>
      <c r="G11" s="9">
        <f>E11*F11</f>
        <v>8.8342947552889051</v>
      </c>
      <c r="H11" s="7" t="s">
        <v>18</v>
      </c>
    </row>
    <row r="12" spans="1:8" ht="43.5" customHeight="1" x14ac:dyDescent="0.35">
      <c r="A12" s="5" t="s">
        <v>25</v>
      </c>
      <c r="B12" s="6" t="s">
        <v>8</v>
      </c>
      <c r="C12" s="6" t="s">
        <v>9</v>
      </c>
      <c r="D12" s="6" t="s">
        <v>10</v>
      </c>
      <c r="E12" s="6" t="s">
        <v>11</v>
      </c>
      <c r="F12" s="6" t="s">
        <v>12</v>
      </c>
      <c r="G12" s="6" t="s">
        <v>13</v>
      </c>
      <c r="H12" s="6" t="s">
        <v>14</v>
      </c>
    </row>
    <row r="13" spans="1:8" x14ac:dyDescent="0.35">
      <c r="B13" s="7" t="str">
        <f t="shared" ref="B13:G15" si="0">B9</f>
        <v>Curiosity Nano board</v>
      </c>
      <c r="C13" s="7" t="str">
        <f t="shared" si="0"/>
        <v>PIC18F57Q43 Curiosity Nano (DM164150)</v>
      </c>
      <c r="D13" s="8" t="str">
        <f t="shared" si="0"/>
        <v>1.8 - 5.5V</v>
      </c>
      <c r="E13" s="8">
        <f t="shared" si="0"/>
        <v>1</v>
      </c>
      <c r="F13" s="9">
        <f t="shared" si="0"/>
        <v>23.819000000000003</v>
      </c>
      <c r="G13" s="9">
        <f t="shared" si="0"/>
        <v>23.819000000000003</v>
      </c>
      <c r="H13" s="7" t="s">
        <v>18</v>
      </c>
    </row>
    <row r="14" spans="1:8" x14ac:dyDescent="0.35">
      <c r="B14" s="7" t="str">
        <f t="shared" si="0"/>
        <v>Quad op amp (3 buffers + 1 tied off)</v>
      </c>
      <c r="C14" s="7" t="str">
        <f t="shared" si="0"/>
        <v>MCP6004</v>
      </c>
      <c r="D14" s="8" t="str">
        <f t="shared" si="0"/>
        <v>1.8 - 6V</v>
      </c>
      <c r="E14" s="8">
        <f t="shared" si="0"/>
        <v>1</v>
      </c>
      <c r="F14" s="9">
        <f t="shared" si="0"/>
        <v>0.68</v>
      </c>
      <c r="G14" s="9">
        <f t="shared" si="0"/>
        <v>0.68</v>
      </c>
      <c r="H14" s="7" t="s">
        <v>18</v>
      </c>
    </row>
    <row r="15" spans="1:8" x14ac:dyDescent="0.35">
      <c r="B15" s="7" t="str">
        <f t="shared" si="0"/>
        <v>Sensor dividers, buttons, LEDs, J3 lines (aggregate)</v>
      </c>
      <c r="C15" s="7" t="str">
        <f t="shared" si="0"/>
        <v>Resistive loads (see Calcs tab)</v>
      </c>
      <c r="D15" s="8" t="str">
        <f t="shared" si="0"/>
        <v>5V</v>
      </c>
      <c r="E15" s="8">
        <f t="shared" si="0"/>
        <v>1</v>
      </c>
      <c r="F15" s="9">
        <f t="shared" si="0"/>
        <v>8.8342947552889051</v>
      </c>
      <c r="G15" s="9">
        <f t="shared" si="0"/>
        <v>8.8342947552889051</v>
      </c>
      <c r="H15" s="7" t="s">
        <v>18</v>
      </c>
    </row>
    <row r="16" spans="1:8" x14ac:dyDescent="0.35">
      <c r="F16" s="10" t="s">
        <v>26</v>
      </c>
      <c r="G16" s="9">
        <f>SUM(G13:G15)</f>
        <v>33.333294755288904</v>
      </c>
      <c r="H16" s="7" t="s">
        <v>18</v>
      </c>
    </row>
    <row r="17" spans="1:8" x14ac:dyDescent="0.35">
      <c r="F17" s="10" t="s">
        <v>27</v>
      </c>
      <c r="G17" s="11">
        <f>Calcs!B7</f>
        <v>0.25</v>
      </c>
      <c r="H17" s="7"/>
    </row>
    <row r="18" spans="1:8" x14ac:dyDescent="0.35">
      <c r="F18" s="12" t="s">
        <v>28</v>
      </c>
      <c r="G18" s="13">
        <f>G16*(1+G17)</f>
        <v>41.66661844411113</v>
      </c>
      <c r="H18" s="7" t="s">
        <v>18</v>
      </c>
    </row>
    <row r="20" spans="1:8" x14ac:dyDescent="0.35">
      <c r="A20" s="14" t="s">
        <v>29</v>
      </c>
      <c r="B20" s="7" t="s">
        <v>30</v>
      </c>
      <c r="C20" s="7" t="s">
        <v>31</v>
      </c>
      <c r="D20" s="8" t="s">
        <v>32</v>
      </c>
      <c r="E20" s="8">
        <v>1</v>
      </c>
      <c r="F20" s="9">
        <f>Calcs!B8</f>
        <v>1500</v>
      </c>
      <c r="G20" s="9">
        <f>E20*F20</f>
        <v>1500</v>
      </c>
      <c r="H20" s="7" t="s">
        <v>18</v>
      </c>
    </row>
    <row r="21" spans="1:8" x14ac:dyDescent="0.35">
      <c r="F21" s="12" t="s">
        <v>33</v>
      </c>
      <c r="G21" s="13">
        <f>G20-G18</f>
        <v>1458.3333815558888</v>
      </c>
      <c r="H21" s="7" t="s">
        <v>18</v>
      </c>
    </row>
    <row r="23" spans="1:8" ht="43.5" customHeight="1" x14ac:dyDescent="0.35">
      <c r="A23" s="5" t="s">
        <v>34</v>
      </c>
      <c r="B23" s="6" t="s">
        <v>8</v>
      </c>
      <c r="C23" s="6" t="s">
        <v>9</v>
      </c>
      <c r="D23" s="6" t="s">
        <v>10</v>
      </c>
      <c r="E23" s="6" t="s">
        <v>35</v>
      </c>
      <c r="F23" s="6" t="s">
        <v>12</v>
      </c>
      <c r="G23" s="6" t="s">
        <v>13</v>
      </c>
      <c r="H23" s="6" t="s">
        <v>14</v>
      </c>
    </row>
    <row r="24" spans="1:8" x14ac:dyDescent="0.35">
      <c r="A24" s="4" t="s">
        <v>36</v>
      </c>
      <c r="B24" s="7" t="s">
        <v>37</v>
      </c>
      <c r="C24" s="7" t="s">
        <v>38</v>
      </c>
      <c r="D24" s="8" t="s">
        <v>39</v>
      </c>
      <c r="E24" s="8" t="str">
        <f>"+"&amp;Calcs!B10&amp;"V"</f>
        <v>+9V</v>
      </c>
      <c r="F24" s="9">
        <f>Calcs!B11</f>
        <v>3000</v>
      </c>
      <c r="G24" s="9">
        <f>F24</f>
        <v>3000</v>
      </c>
      <c r="H24" s="7" t="s">
        <v>18</v>
      </c>
    </row>
    <row r="25" spans="1:8" ht="30" customHeight="1" x14ac:dyDescent="0.35">
      <c r="A25" s="15" t="s">
        <v>40</v>
      </c>
      <c r="B25" s="7" t="s">
        <v>41</v>
      </c>
      <c r="C25" s="7" t="s">
        <v>31</v>
      </c>
      <c r="D25" s="8" t="s">
        <v>32</v>
      </c>
      <c r="F25" s="9">
        <f>G18+Calcs!B9</f>
        <v>47.66661844411113</v>
      </c>
      <c r="G25" s="9">
        <f>F25</f>
        <v>47.66661844411113</v>
      </c>
      <c r="H25" s="7" t="s">
        <v>18</v>
      </c>
    </row>
    <row r="28" spans="1:8" x14ac:dyDescent="0.35">
      <c r="F28" s="12" t="s">
        <v>42</v>
      </c>
      <c r="G28" s="13">
        <f>G24-SUM(G25:G27)</f>
        <v>2952.333381555889</v>
      </c>
      <c r="H28" s="7" t="s">
        <v>18</v>
      </c>
    </row>
    <row r="30" spans="1:8" ht="43.5" customHeight="1" x14ac:dyDescent="0.35">
      <c r="A30" s="5" t="s">
        <v>43</v>
      </c>
      <c r="B30" s="6" t="s">
        <v>8</v>
      </c>
      <c r="C30" s="6" t="s">
        <v>9</v>
      </c>
      <c r="D30" s="6" t="s">
        <v>10</v>
      </c>
      <c r="E30" s="16"/>
      <c r="F30" s="6" t="s">
        <v>44</v>
      </c>
      <c r="G30" s="6" t="s">
        <v>45</v>
      </c>
      <c r="H30" s="16"/>
    </row>
    <row r="31" spans="1:8" x14ac:dyDescent="0.35">
      <c r="B31" s="7" t="s">
        <v>46</v>
      </c>
      <c r="C31" s="7" t="s">
        <v>47</v>
      </c>
      <c r="F31" s="7" t="s">
        <v>48</v>
      </c>
      <c r="G31" s="7" t="s">
        <v>48</v>
      </c>
    </row>
    <row r="32" spans="1:8" x14ac:dyDescent="0.35">
      <c r="F32" s="10" t="s">
        <v>49</v>
      </c>
      <c r="G32" s="7" t="s">
        <v>48</v>
      </c>
    </row>
    <row r="34" spans="1:8" x14ac:dyDescent="0.35">
      <c r="A34" s="34"/>
      <c r="B34" s="35"/>
      <c r="C34" s="35"/>
      <c r="D34" s="35"/>
      <c r="E34" s="35"/>
      <c r="F34" s="35"/>
      <c r="G34" s="35"/>
      <c r="H34" s="35"/>
    </row>
    <row r="35" spans="1:8" ht="30" customHeight="1" x14ac:dyDescent="0.35">
      <c r="A35" s="36"/>
      <c r="B35" s="36"/>
      <c r="C35" s="36"/>
      <c r="D35" s="36"/>
      <c r="E35" s="36"/>
      <c r="F35" s="36"/>
      <c r="G35" s="36"/>
      <c r="H35" s="36"/>
    </row>
    <row r="36" spans="1:8" ht="30" customHeight="1" x14ac:dyDescent="0.35">
      <c r="A36" s="1"/>
      <c r="B36" s="1"/>
      <c r="C36" s="1"/>
      <c r="D36" s="1"/>
      <c r="E36" s="1"/>
      <c r="F36" s="1"/>
      <c r="G36" s="1"/>
      <c r="H36" s="1"/>
    </row>
    <row r="37" spans="1:8" ht="30" customHeight="1" x14ac:dyDescent="0.35">
      <c r="A37" s="1"/>
      <c r="B37" s="1"/>
      <c r="C37" s="1"/>
      <c r="D37" s="1"/>
      <c r="E37" s="1"/>
      <c r="F37" s="1"/>
      <c r="G37" s="1"/>
      <c r="H37" s="1"/>
    </row>
    <row r="38" spans="1:8" ht="30" customHeight="1" x14ac:dyDescent="0.35">
      <c r="A38" s="1"/>
      <c r="B38" s="1"/>
      <c r="C38" s="1"/>
      <c r="D38" s="1"/>
      <c r="E38" s="1"/>
      <c r="F38" s="1"/>
      <c r="G38" s="1"/>
      <c r="H38" s="1"/>
    </row>
    <row r="39" spans="1:8" ht="30" customHeight="1" x14ac:dyDescent="0.35">
      <c r="A39" s="1"/>
      <c r="B39" s="1"/>
      <c r="C39" s="1"/>
      <c r="D39" s="1"/>
      <c r="E39" s="1"/>
      <c r="F39" s="1"/>
      <c r="G39" s="1"/>
      <c r="H39" s="1"/>
    </row>
    <row r="40" spans="1:8" ht="30" customHeight="1" x14ac:dyDescent="0.35">
      <c r="A40" s="1"/>
      <c r="B40" s="1"/>
      <c r="C40" s="1"/>
      <c r="D40" s="1"/>
      <c r="E40" s="1"/>
      <c r="F40" s="1"/>
      <c r="G40" s="1"/>
      <c r="H40" s="1"/>
    </row>
    <row r="41" spans="1:8" ht="30" customHeight="1" x14ac:dyDescent="0.35">
      <c r="A41" s="1"/>
      <c r="B41" s="1"/>
      <c r="C41" s="1"/>
      <c r="D41" s="1"/>
      <c r="E41" s="1"/>
      <c r="F41" s="1"/>
      <c r="G41" s="1"/>
      <c r="H41" s="1"/>
    </row>
    <row r="42" spans="1:8" ht="30" customHeight="1" x14ac:dyDescent="0.35">
      <c r="A42" s="1"/>
      <c r="B42" s="1"/>
      <c r="C42" s="1"/>
      <c r="D42" s="1"/>
      <c r="E42" s="1"/>
      <c r="F42" s="1"/>
      <c r="G42" s="1"/>
      <c r="H42" s="1"/>
    </row>
    <row r="43" spans="1:8" ht="30" customHeight="1" x14ac:dyDescent="0.35">
      <c r="A43" s="1"/>
      <c r="B43" s="1"/>
      <c r="C43" s="1"/>
      <c r="D43" s="1"/>
      <c r="E43" s="1"/>
      <c r="F43" s="1"/>
      <c r="G43" s="1"/>
      <c r="H43" s="1"/>
    </row>
  </sheetData>
  <mergeCells count="14">
    <mergeCell ref="A40:H40"/>
    <mergeCell ref="A41:H41"/>
    <mergeCell ref="A42:H42"/>
    <mergeCell ref="A43:H43"/>
    <mergeCell ref="A35:H35"/>
    <mergeCell ref="A36:H36"/>
    <mergeCell ref="A37:H37"/>
    <mergeCell ref="A38:H38"/>
    <mergeCell ref="A39:H39"/>
    <mergeCell ref="A1:H1"/>
    <mergeCell ref="B3:C3"/>
    <mergeCell ref="B4:C4"/>
    <mergeCell ref="B5:C5"/>
    <mergeCell ref="B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0"/>
  <sheetViews>
    <sheetView zoomScaleNormal="100" workbookViewId="0"/>
  </sheetViews>
  <sheetFormatPr defaultColWidth="8.6328125" defaultRowHeight="14.5" x14ac:dyDescent="0.35"/>
  <cols>
    <col min="1" max="1" width="46" customWidth="1"/>
    <col min="2" max="2" width="12" customWidth="1"/>
    <col min="3" max="3" width="9" customWidth="1"/>
    <col min="4" max="4" width="90" customWidth="1"/>
  </cols>
  <sheetData>
    <row r="1" spans="1:4" ht="20" x14ac:dyDescent="0.4">
      <c r="A1" s="17" t="s">
        <v>50</v>
      </c>
    </row>
    <row r="2" spans="1:4" x14ac:dyDescent="0.35">
      <c r="A2" s="18" t="s">
        <v>51</v>
      </c>
    </row>
    <row r="3" spans="1:4" x14ac:dyDescent="0.35">
      <c r="A3" s="19" t="s">
        <v>52</v>
      </c>
      <c r="B3" s="20"/>
      <c r="C3" s="20"/>
      <c r="D3" s="20"/>
    </row>
    <row r="4" spans="1:4" ht="25" x14ac:dyDescent="0.35">
      <c r="A4" s="7" t="s">
        <v>53</v>
      </c>
      <c r="B4" s="9">
        <f>B60</f>
        <v>23.819000000000003</v>
      </c>
      <c r="C4" s="7" t="s">
        <v>18</v>
      </c>
      <c r="D4" s="21" t="s">
        <v>54</v>
      </c>
    </row>
    <row r="5" spans="1:4" x14ac:dyDescent="0.35">
      <c r="A5" s="7" t="s">
        <v>55</v>
      </c>
      <c r="B5" s="22">
        <v>0.17</v>
      </c>
      <c r="C5" s="7" t="s">
        <v>18</v>
      </c>
      <c r="D5" s="21" t="s">
        <v>56</v>
      </c>
    </row>
    <row r="6" spans="1:4" x14ac:dyDescent="0.35">
      <c r="A6" s="7" t="s">
        <v>57</v>
      </c>
      <c r="B6" s="23">
        <v>4</v>
      </c>
      <c r="C6" s="7"/>
      <c r="D6" s="21" t="s">
        <v>58</v>
      </c>
    </row>
    <row r="7" spans="1:4" x14ac:dyDescent="0.35">
      <c r="A7" s="7" t="s">
        <v>59</v>
      </c>
      <c r="B7" s="24">
        <v>0.25</v>
      </c>
      <c r="C7" s="7"/>
      <c r="D7" s="21" t="s">
        <v>60</v>
      </c>
    </row>
    <row r="8" spans="1:4" x14ac:dyDescent="0.35">
      <c r="A8" s="7" t="s">
        <v>61</v>
      </c>
      <c r="B8" s="23">
        <v>1500</v>
      </c>
      <c r="C8" s="7" t="s">
        <v>18</v>
      </c>
      <c r="D8" s="21" t="s">
        <v>62</v>
      </c>
    </row>
    <row r="9" spans="1:4" x14ac:dyDescent="0.35">
      <c r="A9" s="7" t="s">
        <v>63</v>
      </c>
      <c r="B9" s="23">
        <v>6</v>
      </c>
      <c r="C9" s="7" t="s">
        <v>18</v>
      </c>
      <c r="D9" s="21" t="s">
        <v>64</v>
      </c>
    </row>
    <row r="10" spans="1:4" ht="25" x14ac:dyDescent="0.35">
      <c r="A10" s="7" t="s">
        <v>65</v>
      </c>
      <c r="B10" s="23">
        <v>9</v>
      </c>
      <c r="C10" s="7" t="s">
        <v>66</v>
      </c>
      <c r="D10" s="21" t="s">
        <v>67</v>
      </c>
    </row>
    <row r="11" spans="1:4" x14ac:dyDescent="0.35">
      <c r="A11" s="7" t="s">
        <v>68</v>
      </c>
      <c r="B11" s="23">
        <v>3000</v>
      </c>
      <c r="C11" s="7" t="s">
        <v>18</v>
      </c>
      <c r="D11" s="21" t="s">
        <v>69</v>
      </c>
    </row>
    <row r="12" spans="1:4" x14ac:dyDescent="0.35">
      <c r="A12" s="7" t="s">
        <v>70</v>
      </c>
      <c r="B12" s="23">
        <v>5</v>
      </c>
      <c r="C12" s="7" t="s">
        <v>66</v>
      </c>
      <c r="D12" s="21" t="s">
        <v>71</v>
      </c>
    </row>
    <row r="13" spans="1:4" x14ac:dyDescent="0.35">
      <c r="A13" s="7" t="s">
        <v>72</v>
      </c>
      <c r="B13" s="23">
        <v>50</v>
      </c>
      <c r="C13" s="7" t="s">
        <v>73</v>
      </c>
      <c r="D13" s="21" t="s">
        <v>74</v>
      </c>
    </row>
    <row r="14" spans="1:4" x14ac:dyDescent="0.35">
      <c r="A14" s="7" t="s">
        <v>75</v>
      </c>
      <c r="B14" s="23">
        <v>125</v>
      </c>
      <c r="C14" s="7" t="s">
        <v>76</v>
      </c>
      <c r="D14" s="21" t="s">
        <v>77</v>
      </c>
    </row>
    <row r="15" spans="1:4" x14ac:dyDescent="0.35">
      <c r="A15" s="7" t="s">
        <v>78</v>
      </c>
      <c r="B15" s="23">
        <v>40</v>
      </c>
      <c r="C15" s="7" t="s">
        <v>76</v>
      </c>
      <c r="D15" s="21" t="s">
        <v>79</v>
      </c>
    </row>
    <row r="16" spans="1:4" x14ac:dyDescent="0.35">
      <c r="A16" s="7" t="s">
        <v>80</v>
      </c>
      <c r="B16" s="23">
        <v>2</v>
      </c>
      <c r="C16" s="7" t="s">
        <v>66</v>
      </c>
      <c r="D16" s="21" t="s">
        <v>81</v>
      </c>
    </row>
    <row r="18" spans="1:4" x14ac:dyDescent="0.35">
      <c r="A18" s="19" t="s">
        <v>82</v>
      </c>
      <c r="B18" s="20"/>
      <c r="C18" s="20"/>
      <c r="D18" s="20"/>
    </row>
    <row r="19" spans="1:4" x14ac:dyDescent="0.35">
      <c r="A19" s="7" t="s">
        <v>83</v>
      </c>
      <c r="B19" s="23">
        <v>120</v>
      </c>
      <c r="C19" s="7" t="s">
        <v>84</v>
      </c>
      <c r="D19" s="21" t="s">
        <v>85</v>
      </c>
    </row>
    <row r="20" spans="1:4" x14ac:dyDescent="0.35">
      <c r="A20" s="7" t="s">
        <v>86</v>
      </c>
      <c r="B20" s="23">
        <v>10000</v>
      </c>
      <c r="C20" s="7" t="s">
        <v>84</v>
      </c>
      <c r="D20" s="21" t="s">
        <v>87</v>
      </c>
    </row>
    <row r="21" spans="1:4" x14ac:dyDescent="0.35">
      <c r="A21" s="7" t="s">
        <v>88</v>
      </c>
      <c r="B21" s="25">
        <f>B12/(B19+B20)*1000</f>
        <v>0.49407114624505927</v>
      </c>
      <c r="C21" s="7" t="s">
        <v>18</v>
      </c>
      <c r="D21" s="21" t="s">
        <v>89</v>
      </c>
    </row>
    <row r="22" spans="1:4" x14ac:dyDescent="0.35">
      <c r="A22" s="7" t="s">
        <v>90</v>
      </c>
      <c r="B22" s="23">
        <v>3</v>
      </c>
      <c r="C22" s="7"/>
      <c r="D22" s="21" t="s">
        <v>91</v>
      </c>
    </row>
    <row r="23" spans="1:4" x14ac:dyDescent="0.35">
      <c r="A23" s="7" t="s">
        <v>92</v>
      </c>
      <c r="B23" s="9">
        <f>B21*B22</f>
        <v>1.4822134387351777</v>
      </c>
      <c r="C23" s="7" t="s">
        <v>18</v>
      </c>
      <c r="D23" s="21" t="s">
        <v>93</v>
      </c>
    </row>
    <row r="24" spans="1:4" x14ac:dyDescent="0.35">
      <c r="A24" s="7" t="s">
        <v>94</v>
      </c>
      <c r="B24" s="23">
        <v>10000</v>
      </c>
      <c r="C24" s="7" t="s">
        <v>84</v>
      </c>
      <c r="D24" s="21" t="s">
        <v>87</v>
      </c>
    </row>
    <row r="25" spans="1:4" x14ac:dyDescent="0.35">
      <c r="A25" s="7" t="s">
        <v>95</v>
      </c>
      <c r="B25" s="23">
        <v>2</v>
      </c>
      <c r="C25" s="7"/>
      <c r="D25" s="21" t="s">
        <v>96</v>
      </c>
    </row>
    <row r="26" spans="1:4" x14ac:dyDescent="0.35">
      <c r="A26" s="7" t="s">
        <v>97</v>
      </c>
      <c r="B26" s="9">
        <f>B12/B24*1000*B25</f>
        <v>1</v>
      </c>
      <c r="C26" s="7" t="s">
        <v>18</v>
      </c>
      <c r="D26" s="21"/>
    </row>
    <row r="27" spans="1:4" x14ac:dyDescent="0.35">
      <c r="A27" s="7" t="s">
        <v>98</v>
      </c>
      <c r="B27" s="26">
        <v>3</v>
      </c>
      <c r="C27" s="7" t="s">
        <v>66</v>
      </c>
      <c r="D27" s="21" t="s">
        <v>99</v>
      </c>
    </row>
    <row r="28" spans="1:4" x14ac:dyDescent="0.35">
      <c r="A28" s="7" t="s">
        <v>100</v>
      </c>
      <c r="B28" s="23">
        <v>1000</v>
      </c>
      <c r="C28" s="7" t="s">
        <v>84</v>
      </c>
      <c r="D28" s="21" t="s">
        <v>101</v>
      </c>
    </row>
    <row r="29" spans="1:4" x14ac:dyDescent="0.35">
      <c r="A29" s="7" t="s">
        <v>102</v>
      </c>
      <c r="B29" s="9">
        <f>(B12-B27)/B28*1000</f>
        <v>2</v>
      </c>
      <c r="C29" s="7" t="s">
        <v>18</v>
      </c>
      <c r="D29" s="21"/>
    </row>
    <row r="30" spans="1:4" x14ac:dyDescent="0.35">
      <c r="A30" s="7" t="s">
        <v>103</v>
      </c>
      <c r="B30" s="26">
        <v>2.1</v>
      </c>
      <c r="C30" s="7" t="s">
        <v>66</v>
      </c>
      <c r="D30" s="21" t="s">
        <v>104</v>
      </c>
    </row>
    <row r="31" spans="1:4" x14ac:dyDescent="0.35">
      <c r="A31" s="7" t="s">
        <v>105</v>
      </c>
      <c r="B31" s="23">
        <v>1000</v>
      </c>
      <c r="C31" s="7" t="s">
        <v>84</v>
      </c>
      <c r="D31" s="21" t="s">
        <v>87</v>
      </c>
    </row>
    <row r="32" spans="1:4" x14ac:dyDescent="0.35">
      <c r="A32" s="7" t="s">
        <v>106</v>
      </c>
      <c r="B32" s="9">
        <f>(B12-B30)/B31*1000</f>
        <v>2.9</v>
      </c>
      <c r="C32" s="7" t="s">
        <v>18</v>
      </c>
      <c r="D32" s="21"/>
    </row>
    <row r="33" spans="1:4" x14ac:dyDescent="0.35">
      <c r="A33" s="7" t="s">
        <v>107</v>
      </c>
      <c r="B33" s="23">
        <v>330</v>
      </c>
      <c r="C33" s="7" t="s">
        <v>84</v>
      </c>
      <c r="D33" s="21" t="s">
        <v>87</v>
      </c>
    </row>
    <row r="34" spans="1:4" x14ac:dyDescent="0.35">
      <c r="A34" s="7" t="s">
        <v>108</v>
      </c>
      <c r="B34" s="23">
        <v>10000</v>
      </c>
      <c r="C34" s="7" t="s">
        <v>84</v>
      </c>
      <c r="D34" s="21" t="s">
        <v>87</v>
      </c>
    </row>
    <row r="35" spans="1:4" x14ac:dyDescent="0.35">
      <c r="A35" s="7" t="s">
        <v>109</v>
      </c>
      <c r="B35" s="23">
        <v>3</v>
      </c>
      <c r="C35" s="7"/>
      <c r="D35" s="21" t="s">
        <v>110</v>
      </c>
    </row>
    <row r="36" spans="1:4" x14ac:dyDescent="0.35">
      <c r="A36" s="7" t="s">
        <v>111</v>
      </c>
      <c r="B36" s="9">
        <f>B12/(B33+B34)*1000*B35</f>
        <v>1.452081316553727</v>
      </c>
      <c r="C36" s="7" t="s">
        <v>18</v>
      </c>
      <c r="D36" s="21" t="s">
        <v>112</v>
      </c>
    </row>
    <row r="37" spans="1:4" x14ac:dyDescent="0.35">
      <c r="A37" s="7" t="s">
        <v>113</v>
      </c>
      <c r="B37" s="9">
        <f>B23+B26+B29+B32+B36</f>
        <v>8.8342947552889051</v>
      </c>
      <c r="C37" s="7" t="s">
        <v>18</v>
      </c>
      <c r="D37" s="21"/>
    </row>
    <row r="38" spans="1:4" x14ac:dyDescent="0.35">
      <c r="A38" s="7" t="s">
        <v>114</v>
      </c>
      <c r="B38" s="11">
        <f>B37/'Power Budget'!G16</f>
        <v>0.26502914938785616</v>
      </c>
      <c r="C38" s="7"/>
      <c r="D38" s="21"/>
    </row>
    <row r="39" spans="1:4" ht="25" x14ac:dyDescent="0.35">
      <c r="A39" s="7" t="s">
        <v>115</v>
      </c>
      <c r="B39" s="7" t="s">
        <v>116</v>
      </c>
      <c r="C39" s="7"/>
      <c r="D39" s="21" t="s">
        <v>117</v>
      </c>
    </row>
    <row r="41" spans="1:4" x14ac:dyDescent="0.35">
      <c r="A41" s="19" t="s">
        <v>118</v>
      </c>
      <c r="B41" s="20"/>
      <c r="C41" s="20"/>
      <c r="D41" s="20"/>
    </row>
    <row r="42" spans="1:4" x14ac:dyDescent="0.35">
      <c r="A42" s="7" t="s">
        <v>119</v>
      </c>
      <c r="B42" s="9">
        <f>'Power Budget'!G18</f>
        <v>41.66661844411113</v>
      </c>
      <c r="C42" s="7" t="s">
        <v>18</v>
      </c>
      <c r="D42" s="21" t="s">
        <v>120</v>
      </c>
    </row>
    <row r="43" spans="1:4" x14ac:dyDescent="0.35">
      <c r="A43" s="7" t="s">
        <v>121</v>
      </c>
      <c r="B43" s="25">
        <f>(B10-B12)*B42/1000</f>
        <v>0.16666647377644453</v>
      </c>
      <c r="C43" s="7" t="s">
        <v>122</v>
      </c>
      <c r="D43" s="21" t="s">
        <v>123</v>
      </c>
    </row>
    <row r="44" spans="1:4" x14ac:dyDescent="0.35">
      <c r="A44" s="7" t="s">
        <v>124</v>
      </c>
      <c r="B44" s="25">
        <f>B10*B9/1000</f>
        <v>5.3999999999999999E-2</v>
      </c>
      <c r="C44" s="7" t="s">
        <v>122</v>
      </c>
      <c r="D44" s="21" t="s">
        <v>125</v>
      </c>
    </row>
    <row r="45" spans="1:4" x14ac:dyDescent="0.35">
      <c r="A45" s="7" t="s">
        <v>126</v>
      </c>
      <c r="B45" s="25">
        <f>B43+B44</f>
        <v>0.22066647377644452</v>
      </c>
      <c r="C45" s="7" t="s">
        <v>122</v>
      </c>
      <c r="D45" s="21"/>
    </row>
    <row r="46" spans="1:4" x14ac:dyDescent="0.35">
      <c r="A46" s="7" t="s">
        <v>127</v>
      </c>
      <c r="B46" s="27">
        <f>B45*B13</f>
        <v>11.033323688822225</v>
      </c>
      <c r="C46" s="7" t="s">
        <v>76</v>
      </c>
      <c r="D46" s="21" t="s">
        <v>128</v>
      </c>
    </row>
    <row r="47" spans="1:4" x14ac:dyDescent="0.35">
      <c r="A47" s="7" t="s">
        <v>129</v>
      </c>
      <c r="B47" s="27">
        <f>B15+B46</f>
        <v>51.033323688822222</v>
      </c>
      <c r="C47" s="7" t="s">
        <v>76</v>
      </c>
      <c r="D47" s="21"/>
    </row>
    <row r="48" spans="1:4" x14ac:dyDescent="0.35">
      <c r="A48" s="7" t="s">
        <v>130</v>
      </c>
      <c r="B48" s="7" t="str">
        <f>IF(B47&lt;B14,"No","Yes")</f>
        <v>No</v>
      </c>
      <c r="C48" s="7"/>
      <c r="D48" s="21" t="s">
        <v>131</v>
      </c>
    </row>
    <row r="49" spans="1:4" x14ac:dyDescent="0.35">
      <c r="A49" s="7" t="s">
        <v>132</v>
      </c>
      <c r="B49" s="27">
        <f>B10-B12</f>
        <v>4</v>
      </c>
      <c r="C49" s="7" t="s">
        <v>66</v>
      </c>
      <c r="D49" s="21" t="s">
        <v>133</v>
      </c>
    </row>
    <row r="50" spans="1:4" x14ac:dyDescent="0.35">
      <c r="A50" s="7" t="s">
        <v>134</v>
      </c>
      <c r="B50" s="7" t="str">
        <f>IF(B49&gt;B16,"OK","Too low")</f>
        <v>OK</v>
      </c>
      <c r="C50" s="7"/>
      <c r="D50" s="21"/>
    </row>
    <row r="51" spans="1:4" x14ac:dyDescent="0.35">
      <c r="A51" s="7" t="s">
        <v>135</v>
      </c>
      <c r="B51" s="7" t="str">
        <f>IF(B42&gt;=5,"OK","Below 5 mA")</f>
        <v>OK</v>
      </c>
      <c r="C51" s="7"/>
      <c r="D51" s="21" t="s">
        <v>136</v>
      </c>
    </row>
    <row r="53" spans="1:4" x14ac:dyDescent="0.35">
      <c r="A53" s="19" t="s">
        <v>137</v>
      </c>
      <c r="B53" s="20"/>
      <c r="C53" s="20"/>
      <c r="D53" s="20"/>
    </row>
    <row r="54" spans="1:4" ht="25" x14ac:dyDescent="0.35">
      <c r="A54" s="7" t="s">
        <v>138</v>
      </c>
      <c r="B54" s="26">
        <v>13.8</v>
      </c>
      <c r="C54" s="7" t="s">
        <v>18</v>
      </c>
      <c r="D54" s="21" t="s">
        <v>139</v>
      </c>
    </row>
    <row r="55" spans="1:4" x14ac:dyDescent="0.35">
      <c r="A55" s="7" t="s">
        <v>140</v>
      </c>
      <c r="B55" s="26">
        <v>3</v>
      </c>
      <c r="C55" s="7" t="s">
        <v>66</v>
      </c>
      <c r="D55" s="21" t="s">
        <v>141</v>
      </c>
    </row>
    <row r="56" spans="1:4" x14ac:dyDescent="0.35">
      <c r="A56" s="7" t="s">
        <v>142</v>
      </c>
      <c r="B56" s="27">
        <f>B12</f>
        <v>5</v>
      </c>
      <c r="C56" s="7" t="s">
        <v>66</v>
      </c>
      <c r="D56" s="21" t="s">
        <v>143</v>
      </c>
    </row>
    <row r="57" spans="1:4" ht="25" x14ac:dyDescent="0.35">
      <c r="A57" s="7" t="s">
        <v>144</v>
      </c>
      <c r="B57" s="9">
        <f>B56/B55</f>
        <v>1.6666666666666667</v>
      </c>
      <c r="C57" s="7"/>
      <c r="D57" s="21" t="s">
        <v>145</v>
      </c>
    </row>
    <row r="58" spans="1:4" x14ac:dyDescent="0.35">
      <c r="A58" s="7" t="s">
        <v>146</v>
      </c>
      <c r="B58" s="27">
        <f>B54*B57</f>
        <v>23.000000000000004</v>
      </c>
      <c r="C58" s="7" t="s">
        <v>18</v>
      </c>
      <c r="D58" s="21" t="s">
        <v>147</v>
      </c>
    </row>
    <row r="59" spans="1:4" ht="25" x14ac:dyDescent="0.35">
      <c r="A59" s="7" t="s">
        <v>148</v>
      </c>
      <c r="B59" s="28">
        <v>0.81899999999999995</v>
      </c>
      <c r="C59" s="7" t="s">
        <v>18</v>
      </c>
      <c r="D59" s="21" t="s">
        <v>149</v>
      </c>
    </row>
    <row r="60" spans="1:4" x14ac:dyDescent="0.35">
      <c r="A60" s="7" t="s">
        <v>150</v>
      </c>
      <c r="B60" s="9">
        <f>B58+B59</f>
        <v>23.819000000000003</v>
      </c>
      <c r="C60" s="7" t="s">
        <v>18</v>
      </c>
      <c r="D60" s="21" t="s">
        <v>151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showGridLines="0" zoomScaleNormal="100" workbookViewId="0"/>
  </sheetViews>
  <sheetFormatPr defaultColWidth="8.6328125" defaultRowHeight="14.5" x14ac:dyDescent="0.35"/>
  <cols>
    <col min="1" max="1" width="12" customWidth="1"/>
    <col min="2" max="2" width="30" customWidth="1"/>
    <col min="3" max="3" width="24" customWidth="1"/>
    <col min="4" max="5" width="52" customWidth="1"/>
    <col min="6" max="6" width="14" customWidth="1"/>
  </cols>
  <sheetData>
    <row r="1" spans="1:6" ht="20" x14ac:dyDescent="0.4">
      <c r="A1" s="17" t="s">
        <v>152</v>
      </c>
    </row>
    <row r="3" spans="1:6" x14ac:dyDescent="0.35">
      <c r="A3" s="4" t="s">
        <v>153</v>
      </c>
    </row>
    <row r="4" spans="1:6" x14ac:dyDescent="0.35">
      <c r="A4" s="6" t="s">
        <v>154</v>
      </c>
      <c r="B4" s="6" t="s">
        <v>155</v>
      </c>
      <c r="C4" s="6" t="s">
        <v>9</v>
      </c>
      <c r="D4" s="6" t="s">
        <v>156</v>
      </c>
      <c r="E4" s="6" t="s">
        <v>157</v>
      </c>
      <c r="F4" s="6" t="s">
        <v>158</v>
      </c>
    </row>
    <row r="5" spans="1:6" ht="120" customHeight="1" x14ac:dyDescent="0.35">
      <c r="A5" s="29">
        <v>1</v>
      </c>
      <c r="B5" s="29" t="s">
        <v>159</v>
      </c>
      <c r="C5" s="29" t="s">
        <v>31</v>
      </c>
      <c r="D5" s="29" t="s">
        <v>160</v>
      </c>
      <c r="E5" s="29" t="s">
        <v>161</v>
      </c>
      <c r="F5" s="29" t="s">
        <v>116</v>
      </c>
    </row>
    <row r="6" spans="1:6" ht="120" customHeight="1" x14ac:dyDescent="0.35">
      <c r="A6" s="29">
        <v>2</v>
      </c>
      <c r="B6" s="29" t="s">
        <v>162</v>
      </c>
      <c r="C6" s="29" t="s">
        <v>163</v>
      </c>
      <c r="D6" s="29" t="s">
        <v>164</v>
      </c>
      <c r="E6" s="29" t="s">
        <v>165</v>
      </c>
      <c r="F6" s="29" t="s">
        <v>166</v>
      </c>
    </row>
    <row r="7" spans="1:6" ht="79.5" customHeight="1" x14ac:dyDescent="0.35">
      <c r="A7" s="30" t="s">
        <v>167</v>
      </c>
      <c r="B7" s="1" t="str">
        <f>"Selected: L7805ABV-DG. The +5V rail needs about "&amp;TEXT('Power Budget'!G18,"0")&amp;" mA against the regulator's 1500 mA rating, and it dissipates about "&amp;TEXT(Calcs!B45,"0.00")&amp;" W (junction roughly "&amp;TEXT(Calcs!B47,"0")&amp;_xlfn._LONGTEXT(" C), so no heatsink is needed. At this current the efficiency of a switching regulator is not worth its extra parts, and a linear regulator adds no switching noise to the photoresistor ADC readings. It also matches the course specification of a 9 V jack w","ith a 5 V linear regulator.")</f>
        <v>Selected: L7805ABV-DG. The +5V rail needs about 42 mA against the regulator's 1500 mA rating, and it dissipates about 0.22 W (junction roughly 51 C), so no heatsink is needed. At this current the efficiency of a switching regulator is not worth its extra parts, and a linear regulator adds no switching noise to the photoresistor ADC readings. It also matches the course specification of a 9 V jack with a 5 V linear regulator.</v>
      </c>
      <c r="C7" s="1"/>
      <c r="D7" s="1"/>
      <c r="E7" s="1"/>
      <c r="F7" s="1"/>
    </row>
    <row r="10" spans="1:6" x14ac:dyDescent="0.35">
      <c r="A10" s="4" t="s">
        <v>168</v>
      </c>
    </row>
    <row r="11" spans="1:6" x14ac:dyDescent="0.35">
      <c r="A11" s="6" t="s">
        <v>154</v>
      </c>
      <c r="B11" s="6" t="s">
        <v>155</v>
      </c>
      <c r="C11" s="6" t="s">
        <v>9</v>
      </c>
      <c r="D11" s="6" t="s">
        <v>156</v>
      </c>
      <c r="E11" s="6" t="s">
        <v>157</v>
      </c>
      <c r="F11" s="6" t="s">
        <v>158</v>
      </c>
    </row>
    <row r="12" spans="1:6" ht="120" customHeight="1" x14ac:dyDescent="0.35">
      <c r="A12" s="29">
        <v>1</v>
      </c>
      <c r="B12" s="29" t="s">
        <v>169</v>
      </c>
      <c r="C12" s="29" t="s">
        <v>170</v>
      </c>
      <c r="D12" s="29" t="s">
        <v>171</v>
      </c>
      <c r="E12" s="29" t="s">
        <v>172</v>
      </c>
      <c r="F12" s="29" t="s">
        <v>116</v>
      </c>
    </row>
    <row r="13" spans="1:6" ht="120" customHeight="1" x14ac:dyDescent="0.35">
      <c r="A13" s="29">
        <v>2</v>
      </c>
      <c r="B13" s="29" t="s">
        <v>173</v>
      </c>
      <c r="C13" s="29" t="s">
        <v>174</v>
      </c>
      <c r="D13" s="29" t="s">
        <v>175</v>
      </c>
      <c r="E13" s="29" t="s">
        <v>176</v>
      </c>
      <c r="F13" s="29" t="s">
        <v>166</v>
      </c>
    </row>
    <row r="14" spans="1:6" ht="79.5" customHeight="1" x14ac:dyDescent="0.35">
      <c r="A14" s="30" t="s">
        <v>167</v>
      </c>
      <c r="B14" s="1" t="str">
        <f>"Selected: BestCH 9V 3A wall adapter. After the regulator's input current, the adapter still has about "&amp;TEXT('Power Budget'!G28,"0")&amp;" mA to spare, runtime is unlimited, and it matches the course requirement of a 9 V barrel jack with no USB power. A battery would add a battery-life calculation and its voltage would sag toward the regulator's minimum input."</f>
        <v>Selected: BestCH 9V 3A wall adapter. After the regulator's input current, the adapter still has about 2952 mA to spare, runtime is unlimited, and it matches the course requirement of a 9 V barrel jack with no USB power. A battery would add a battery-life calculation and its voltage would sag toward the regulator's minimum input.</v>
      </c>
      <c r="C14" s="1"/>
      <c r="D14" s="1"/>
      <c r="E14" s="1"/>
      <c r="F14" s="1"/>
    </row>
    <row r="16" spans="1:6" x14ac:dyDescent="0.35">
      <c r="A16" s="18" t="s">
        <v>177</v>
      </c>
    </row>
  </sheetData>
  <mergeCells count="2">
    <mergeCell ref="B7:F7"/>
    <mergeCell ref="B14:F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Power Budget</vt:lpstr>
      <vt:lpstr>Calcs</vt:lpstr>
      <vt:lpstr>Section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Dawn Gonzalez</cp:lastModifiedBy>
  <cp:revision>0</cp:revision>
  <dcterms:created xsi:type="dcterms:W3CDTF">2026-10-28T03:20:48Z</dcterms:created>
  <dcterms:modified xsi:type="dcterms:W3CDTF">2026-10-31T04:03:29Z</dcterms:modified>
  <dc:language>en-US</dc:language>
</cp:coreProperties>
</file>